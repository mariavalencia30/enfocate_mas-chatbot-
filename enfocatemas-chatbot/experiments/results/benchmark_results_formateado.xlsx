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1 por Intent" sheetId="2" state="visible" r:id="rId2"/>
    <sheet xmlns:r="http://schemas.openxmlformats.org/officeDocument/2006/relationships" name="Latencia &amp; Costo" sheetId="3" state="visible" r:id="rId3"/>
    <sheet xmlns:r="http://schemas.openxmlformats.org/officeDocument/2006/relationships" name="Ranking F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9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777777"/>
      <sz val="9"/>
    </font>
    <font>
      <name val="Calibri"/>
      <i val="1"/>
      <color rgb="00444444"/>
      <sz val="9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EF0FB"/>
      </patternFill>
    </fill>
    <fill>
      <patternFill patternType="solid">
        <fgColor rgb="003949AB"/>
      </patternFill>
    </fill>
    <fill>
      <patternFill patternType="solid">
        <fgColor rgb="0028359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0" customWidth="1" min="4" max="4"/>
    <col width="8" customWidth="1" min="5" max="5"/>
    <col width="9" customWidth="1" min="6" max="6"/>
    <col width="9" customWidth="1" min="7" max="7"/>
    <col width="11" customWidth="1" min="8" max="8"/>
    <col width="12" customWidth="1" min="9" max="9"/>
    <col width="11" customWidth="1" min="10" max="10"/>
    <col width="13" customWidth="1" min="11" max="11"/>
  </cols>
  <sheetData>
    <row r="1" ht="28" customHeight="1">
      <c r="A1" s="1" t="inlineStr">
        <is>
          <t>BENCHMARK RAG — Resumen Ejecutivo</t>
        </is>
      </c>
    </row>
    <row r="2"/>
    <row r="3">
      <c r="A3" s="2" t="inlineStr">
        <is>
          <t>Comparación de modelos: F1 · BLEU · ROUGE-L · Cosine Similarity · Latencia · Costo</t>
        </is>
      </c>
    </row>
    <row r="4" ht="18" customHeight="1">
      <c r="A4" s="3" t="inlineStr">
        <is>
          <t>MODELO</t>
        </is>
      </c>
      <c r="C4" s="3" t="inlineStr">
        <is>
          <t>CLASIFICACIÓN</t>
        </is>
      </c>
      <c r="E4" s="3" t="inlineStr">
        <is>
          <t>CALIDAD DE RESPUESTA</t>
        </is>
      </c>
      <c r="I4" s="3" t="inlineStr">
        <is>
          <t>LATENCIA</t>
        </is>
      </c>
      <c r="K4" s="3" t="inlineStr">
        <is>
          <t>COSTO</t>
        </is>
      </c>
    </row>
    <row r="5" ht="32" customHeight="1">
      <c r="A5" s="4" t="inlineStr">
        <is>
          <t>Configuración</t>
        </is>
      </c>
      <c r="B5" s="4" t="inlineStr">
        <is>
          <t>Modo</t>
        </is>
      </c>
      <c r="C5" s="4" t="inlineStr">
        <is>
          <t>F1-Score</t>
        </is>
      </c>
      <c r="D5" s="4" t="inlineStr">
        <is>
          <t>Precisión</t>
        </is>
      </c>
      <c r="E5" s="4" t="inlineStr">
        <is>
          <t>BLEU</t>
        </is>
      </c>
      <c r="F5" s="4" t="inlineStr">
        <is>
          <t>ROUGE-1</t>
        </is>
      </c>
      <c r="G5" s="4" t="inlineStr">
        <is>
          <t>ROUGE-L</t>
        </is>
      </c>
      <c r="H5" s="4" t="inlineStr">
        <is>
          <t>Cosine Sim</t>
        </is>
      </c>
      <c r="I5" s="4" t="inlineStr">
        <is>
          <t>Lat. Prom (s)</t>
        </is>
      </c>
      <c r="J5" s="4" t="inlineStr">
        <is>
          <t>Lat. P95 (s)</t>
        </is>
      </c>
      <c r="K5" s="4" t="inlineStr">
        <is>
          <t>$/1K tokens</t>
        </is>
      </c>
    </row>
    <row r="6" ht="18" customHeight="1">
      <c r="A6" s="5" t="inlineStr">
        <is>
          <t>GPT-4o + chunk500</t>
        </is>
      </c>
      <c r="B6" s="6" t="inlineStr">
        <is>
          <t>MOCK</t>
        </is>
      </c>
      <c r="C6" s="7" t="n">
        <v>0.954</v>
      </c>
      <c r="D6" s="7" t="n">
        <v>0.9643</v>
      </c>
      <c r="E6" s="7" t="n">
        <v>0.5707</v>
      </c>
      <c r="F6" s="7" t="n">
        <v>0.6421</v>
      </c>
      <c r="G6" s="7" t="n">
        <v>0.6267</v>
      </c>
      <c r="H6" s="7" t="n">
        <v>0.6601</v>
      </c>
      <c r="I6" s="8" t="n">
        <v>1.789</v>
      </c>
      <c r="J6" s="8" t="n">
        <v>2.2</v>
      </c>
      <c r="K6" s="9" t="n">
        <v>2.5</v>
      </c>
    </row>
    <row r="7" ht="18" customHeight="1">
      <c r="A7" s="10" t="inlineStr">
        <is>
          <t>GPT-4o + chunk200</t>
        </is>
      </c>
      <c r="B7" s="11" t="inlineStr">
        <is>
          <t>MOCK</t>
        </is>
      </c>
      <c r="C7" s="12" t="n">
        <v>0.954</v>
      </c>
      <c r="D7" s="12" t="n">
        <v>0.9643</v>
      </c>
      <c r="E7" s="12" t="n">
        <v>0.5707</v>
      </c>
      <c r="F7" s="12" t="n">
        <v>0.6421</v>
      </c>
      <c r="G7" s="12" t="n">
        <v>0.6267</v>
      </c>
      <c r="H7" s="12" t="n">
        <v>0.6601</v>
      </c>
      <c r="I7" s="13" t="n">
        <v>1.56</v>
      </c>
      <c r="J7" s="13" t="n">
        <v>1.722</v>
      </c>
      <c r="K7" s="14" t="n">
        <v>2.5</v>
      </c>
    </row>
    <row r="8" ht="18" customHeight="1">
      <c r="A8" s="5" t="inlineStr">
        <is>
          <t>GPT-4o-mini + chunk500</t>
        </is>
      </c>
      <c r="B8" s="6" t="inlineStr">
        <is>
          <t>MOCK</t>
        </is>
      </c>
      <c r="C8" s="15" t="n">
        <v>0.954</v>
      </c>
      <c r="D8" s="15" t="n">
        <v>0.9643</v>
      </c>
      <c r="E8" s="15" t="n">
        <v>0.5707</v>
      </c>
      <c r="F8" s="15" t="n">
        <v>0.6421</v>
      </c>
      <c r="G8" s="15" t="n">
        <v>0.6267</v>
      </c>
      <c r="H8" s="15" t="n">
        <v>0.6601</v>
      </c>
      <c r="I8" s="8" t="n">
        <v>0.746</v>
      </c>
      <c r="J8" s="8" t="n">
        <v>0.866</v>
      </c>
      <c r="K8" s="9" t="n">
        <v>0.15</v>
      </c>
    </row>
    <row r="9" ht="18" customHeight="1">
      <c r="A9" s="10" t="inlineStr">
        <is>
          <t>GPT-4o-mini + chunk200</t>
        </is>
      </c>
      <c r="B9" s="11" t="inlineStr">
        <is>
          <t>MOCK</t>
        </is>
      </c>
      <c r="C9" s="12" t="n">
        <v>0.954</v>
      </c>
      <c r="D9" s="12" t="n">
        <v>0.9643</v>
      </c>
      <c r="E9" s="12" t="n">
        <v>0.5707</v>
      </c>
      <c r="F9" s="12" t="n">
        <v>0.6421</v>
      </c>
      <c r="G9" s="12" t="n">
        <v>0.6267</v>
      </c>
      <c r="H9" s="12" t="n">
        <v>0.6601</v>
      </c>
      <c r="I9" s="13" t="n">
        <v>0.663</v>
      </c>
      <c r="J9" s="13" t="n">
        <v>0.799</v>
      </c>
      <c r="K9" s="16" t="n">
        <v>0.15</v>
      </c>
    </row>
    <row r="10" ht="18" customHeight="1">
      <c r="A10" s="5" t="inlineStr">
        <is>
          <t>GPT-4o-mini + chunk1000</t>
        </is>
      </c>
      <c r="B10" s="6" t="inlineStr">
        <is>
          <t>MOCK</t>
        </is>
      </c>
      <c r="C10" s="15" t="n">
        <v>0.954</v>
      </c>
      <c r="D10" s="15" t="n">
        <v>0.9643</v>
      </c>
      <c r="E10" s="15" t="n">
        <v>0.5707</v>
      </c>
      <c r="F10" s="15" t="n">
        <v>0.6421</v>
      </c>
      <c r="G10" s="15" t="n">
        <v>0.6267</v>
      </c>
      <c r="H10" s="15" t="n">
        <v>0.6601</v>
      </c>
      <c r="I10" s="8" t="n">
        <v>0.881</v>
      </c>
      <c r="J10" s="8" t="n">
        <v>1.105</v>
      </c>
      <c r="K10" s="9" t="n">
        <v>0.15</v>
      </c>
    </row>
    <row r="11" ht="18" customHeight="1">
      <c r="A11" s="10" t="inlineStr">
        <is>
          <t>GPT-3.5-turbo + chunk500</t>
        </is>
      </c>
      <c r="B11" s="11" t="inlineStr">
        <is>
          <t>MOCK</t>
        </is>
      </c>
      <c r="C11" s="12" t="n">
        <v>0.954</v>
      </c>
      <c r="D11" s="12" t="n">
        <v>0.9643</v>
      </c>
      <c r="E11" s="12" t="n">
        <v>0.1414</v>
      </c>
      <c r="F11" s="12" t="n">
        <v>0.2016</v>
      </c>
      <c r="G11" s="12" t="n">
        <v>0.167</v>
      </c>
      <c r="H11" s="12" t="n">
        <v>0.266</v>
      </c>
      <c r="I11" s="13" t="n">
        <v>0.583</v>
      </c>
      <c r="J11" s="13" t="n">
        <v>0.696</v>
      </c>
      <c r="K11" s="16" t="n">
        <v>0.5</v>
      </c>
    </row>
    <row r="12" ht="18" customHeight="1">
      <c r="A12" s="5" t="inlineStr">
        <is>
          <t>GPT-4o-mini + SentTransf</t>
        </is>
      </c>
      <c r="B12" s="6" t="inlineStr">
        <is>
          <t>MOCK</t>
        </is>
      </c>
      <c r="C12" s="15" t="n">
        <v>0.954</v>
      </c>
      <c r="D12" s="15" t="n">
        <v>0.9643</v>
      </c>
      <c r="E12" s="15" t="n">
        <v>0.5707</v>
      </c>
      <c r="F12" s="15" t="n">
        <v>0.6421</v>
      </c>
      <c r="G12" s="15" t="n">
        <v>0.6267</v>
      </c>
      <c r="H12" s="15" t="n">
        <v>0.6601</v>
      </c>
      <c r="I12" s="17" t="n">
        <v>0.57</v>
      </c>
      <c r="J12" s="17" t="n">
        <v>0.665</v>
      </c>
      <c r="K12" s="9" t="n">
        <v>0.15</v>
      </c>
    </row>
    <row r="13" ht="18" customHeight="1">
      <c r="A13" s="10" t="inlineStr">
        <is>
          <t>Llama3-local + SentTransf</t>
        </is>
      </c>
      <c r="B13" s="11" t="inlineStr">
        <is>
          <t>MOCK</t>
        </is>
      </c>
      <c r="C13" s="18" t="n">
        <v>0.2443</v>
      </c>
      <c r="D13" s="18" t="n">
        <v>0.2595</v>
      </c>
      <c r="E13" s="18" t="n">
        <v>0.0983</v>
      </c>
      <c r="F13" s="18" t="n">
        <v>0.0579</v>
      </c>
      <c r="G13" s="18" t="n">
        <v>0.0579</v>
      </c>
      <c r="H13" s="18" t="n">
        <v>0.1477</v>
      </c>
      <c r="I13" s="19" t="n">
        <v>2.481</v>
      </c>
      <c r="J13" s="19" t="n">
        <v>3.191</v>
      </c>
      <c r="K13" s="20" t="n">
        <v>0</v>
      </c>
    </row>
  </sheetData>
  <mergeCells count="7">
    <mergeCell ref="A4:B4"/>
    <mergeCell ref="K4"/>
    <mergeCell ref="I4:J4"/>
    <mergeCell ref="E4:H4"/>
    <mergeCell ref="A1:I2"/>
    <mergeCell ref="A3:I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 ht="26" customHeight="1">
      <c r="A1" s="21" t="inlineStr">
        <is>
          <t>F1-Score por Intent y Configuración</t>
        </is>
      </c>
    </row>
    <row r="2"/>
    <row r="3" ht="28" customHeight="1">
      <c r="A3" s="22" t="inlineStr">
        <is>
          <t>Configuración</t>
        </is>
      </c>
      <c r="B3" s="22" t="inlineStr">
        <is>
          <t>FAQ</t>
        </is>
      </c>
      <c r="C3" s="22" t="inlineStr">
        <is>
          <t>Auth</t>
        </is>
      </c>
      <c r="D3" s="22" t="inlineStr">
        <is>
          <t>Pagos</t>
        </is>
      </c>
      <c r="E3" s="22" t="inlineStr">
        <is>
          <t>Matrícula</t>
        </is>
      </c>
      <c r="F3" s="22" t="inlineStr">
        <is>
          <t>Soporte</t>
        </is>
      </c>
      <c r="G3" s="22" t="inlineStr">
        <is>
          <t>F1 Global</t>
        </is>
      </c>
    </row>
    <row r="4">
      <c r="A4" s="5" t="inlineStr">
        <is>
          <t>GPT-4o + chunk500</t>
        </is>
      </c>
      <c r="B4" s="15" t="n">
        <v>0.9231</v>
      </c>
      <c r="C4" s="15" t="n">
        <v>1</v>
      </c>
      <c r="D4" s="15" t="n">
        <v>1</v>
      </c>
      <c r="E4" s="15" t="n">
        <v>0.8571</v>
      </c>
      <c r="F4" s="15" t="n">
        <v>1</v>
      </c>
      <c r="G4" s="15" t="n">
        <v>0.954</v>
      </c>
    </row>
    <row r="5">
      <c r="A5" s="10" t="inlineStr">
        <is>
          <t>GPT-4o + chunk200</t>
        </is>
      </c>
      <c r="B5" s="12" t="n">
        <v>0.9231</v>
      </c>
      <c r="C5" s="12" t="n">
        <v>1</v>
      </c>
      <c r="D5" s="12" t="n">
        <v>1</v>
      </c>
      <c r="E5" s="12" t="n">
        <v>0.8571</v>
      </c>
      <c r="F5" s="12" t="n">
        <v>1</v>
      </c>
      <c r="G5" s="12" t="n">
        <v>0.954</v>
      </c>
    </row>
    <row r="6">
      <c r="A6" s="5" t="inlineStr">
        <is>
          <t>GPT-4o-mini + chunk500</t>
        </is>
      </c>
      <c r="B6" s="15" t="n">
        <v>0.9231</v>
      </c>
      <c r="C6" s="15" t="n">
        <v>1</v>
      </c>
      <c r="D6" s="15" t="n">
        <v>1</v>
      </c>
      <c r="E6" s="15" t="n">
        <v>0.8571</v>
      </c>
      <c r="F6" s="15" t="n">
        <v>1</v>
      </c>
      <c r="G6" s="15" t="n">
        <v>0.954</v>
      </c>
    </row>
    <row r="7">
      <c r="A7" s="10" t="inlineStr">
        <is>
          <t>GPT-4o-mini + chunk200</t>
        </is>
      </c>
      <c r="B7" s="12" t="n">
        <v>0.9231</v>
      </c>
      <c r="C7" s="12" t="n">
        <v>1</v>
      </c>
      <c r="D7" s="12" t="n">
        <v>1</v>
      </c>
      <c r="E7" s="12" t="n">
        <v>0.8571</v>
      </c>
      <c r="F7" s="12" t="n">
        <v>1</v>
      </c>
      <c r="G7" s="12" t="n">
        <v>0.954</v>
      </c>
    </row>
    <row r="8">
      <c r="A8" s="5" t="inlineStr">
        <is>
          <t>GPT-4o-mini + chunk1000</t>
        </is>
      </c>
      <c r="B8" s="15" t="n">
        <v>0.9231</v>
      </c>
      <c r="C8" s="15" t="n">
        <v>1</v>
      </c>
      <c r="D8" s="15" t="n">
        <v>1</v>
      </c>
      <c r="E8" s="15" t="n">
        <v>0.8571</v>
      </c>
      <c r="F8" s="15" t="n">
        <v>1</v>
      </c>
      <c r="G8" s="15" t="n">
        <v>0.954</v>
      </c>
    </row>
    <row r="9">
      <c r="A9" s="10" t="inlineStr">
        <is>
          <t>GPT-3.5-turbo + chunk500</t>
        </is>
      </c>
      <c r="B9" s="12" t="n">
        <v>0.9231</v>
      </c>
      <c r="C9" s="12" t="n">
        <v>1</v>
      </c>
      <c r="D9" s="12" t="n">
        <v>1</v>
      </c>
      <c r="E9" s="12" t="n">
        <v>0.8571</v>
      </c>
      <c r="F9" s="12" t="n">
        <v>1</v>
      </c>
      <c r="G9" s="12" t="n">
        <v>0.954</v>
      </c>
    </row>
    <row r="10">
      <c r="A10" s="5" t="inlineStr">
        <is>
          <t>GPT-4o-mini + SentTransf</t>
        </is>
      </c>
      <c r="B10" s="15" t="n">
        <v>0.9231</v>
      </c>
      <c r="C10" s="15" t="n">
        <v>1</v>
      </c>
      <c r="D10" s="15" t="n">
        <v>1</v>
      </c>
      <c r="E10" s="15" t="n">
        <v>0.8571</v>
      </c>
      <c r="F10" s="15" t="n">
        <v>1</v>
      </c>
      <c r="G10" s="15" t="n">
        <v>0.954</v>
      </c>
    </row>
    <row r="11">
      <c r="A11" s="10" t="inlineStr">
        <is>
          <t>Llama3-local + SentTransf</t>
        </is>
      </c>
      <c r="B11" s="12" t="n">
        <v>0.5185</v>
      </c>
      <c r="C11" s="12" t="n">
        <v>0</v>
      </c>
      <c r="D11" s="12" t="n">
        <v>0</v>
      </c>
      <c r="E11" s="12" t="n">
        <v>0</v>
      </c>
      <c r="F11" s="12" t="n">
        <v>0.5</v>
      </c>
      <c r="G11" s="12" t="n">
        <v>0.2443</v>
      </c>
    </row>
  </sheetData>
  <mergeCells count="1">
    <mergeCell ref="A1:G2"/>
  </mergeCells>
  <conditionalFormatting sqref="B4:B11">
    <cfRule type="colorScale" priority="1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C4:C11">
    <cfRule type="colorScale" priority="2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D4:D11">
    <cfRule type="colorScale" priority="3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E4:E11">
    <cfRule type="colorScale" priority="4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F4:F11">
    <cfRule type="colorScale" priority="5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conditionalFormatting sqref="G4:G11">
    <cfRule type="colorScale" priority="6">
      <colorScale>
        <cfvo type="num" val="0"/>
        <cfvo type="num" val="0.5"/>
        <cfvo type="num" val="1"/>
        <color rgb="00FFCDD2"/>
        <color rgb="00FFF9C4"/>
        <color rgb="00C8E6C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 ht="26" customHeight="1">
      <c r="A1" s="21" t="inlineStr">
        <is>
          <t>Análisis de Latencia y Costo</t>
        </is>
      </c>
    </row>
    <row r="2"/>
    <row r="3" ht="32" customHeight="1">
      <c r="A3" s="22" t="inlineStr">
        <is>
          <t>Configuración</t>
        </is>
      </c>
      <c r="B3" s="22" t="inlineStr">
        <is>
          <t>Lat. Prom (s)</t>
        </is>
      </c>
      <c r="C3" s="22" t="inlineStr">
        <is>
          <t>Lat. P95 (s)</t>
        </is>
      </c>
      <c r="D3" s="22" t="inlineStr">
        <is>
          <t>Lat. Std (s)</t>
        </is>
      </c>
      <c r="E3" s="22" t="inlineStr">
        <is>
          <t>$/1K tokens</t>
        </is>
      </c>
      <c r="F3" s="22" t="inlineStr">
        <is>
          <t>Costo estimado/mes*</t>
        </is>
      </c>
    </row>
    <row r="4">
      <c r="A4" s="5" t="inlineStr">
        <is>
          <t>GPT-4o + chunk500</t>
        </is>
      </c>
      <c r="B4" s="15" t="n">
        <v>1.789</v>
      </c>
      <c r="C4" s="15" t="n">
        <v>2.2</v>
      </c>
      <c r="D4" s="15" t="n">
        <v>0.204</v>
      </c>
      <c r="E4" s="9" t="n">
        <v>2.5</v>
      </c>
      <c r="F4" s="9">
        <f>E4*10</f>
        <v/>
      </c>
    </row>
    <row r="5">
      <c r="A5" s="10" t="inlineStr">
        <is>
          <t>GPT-4o + chunk200</t>
        </is>
      </c>
      <c r="B5" s="12" t="n">
        <v>1.56</v>
      </c>
      <c r="C5" s="12" t="n">
        <v>1.722</v>
      </c>
      <c r="D5" s="12" t="n">
        <v>0.145</v>
      </c>
      <c r="E5" s="16" t="n">
        <v>2.5</v>
      </c>
      <c r="F5" s="16">
        <f>E5*10</f>
        <v/>
      </c>
    </row>
    <row r="6">
      <c r="A6" s="5" t="inlineStr">
        <is>
          <t>GPT-4o-mini + chunk500</t>
        </is>
      </c>
      <c r="B6" s="15" t="n">
        <v>0.746</v>
      </c>
      <c r="C6" s="15" t="n">
        <v>0.866</v>
      </c>
      <c r="D6" s="15" t="n">
        <v>0.079</v>
      </c>
      <c r="E6" s="9" t="n">
        <v>0.15</v>
      </c>
      <c r="F6" s="9">
        <f>E6*10</f>
        <v/>
      </c>
    </row>
    <row r="7">
      <c r="A7" s="10" t="inlineStr">
        <is>
          <t>GPT-4o-mini + chunk200</t>
        </is>
      </c>
      <c r="B7" s="12" t="n">
        <v>0.663</v>
      </c>
      <c r="C7" s="12" t="n">
        <v>0.799</v>
      </c>
      <c r="D7" s="12" t="n">
        <v>0.083</v>
      </c>
      <c r="E7" s="16" t="n">
        <v>0.15</v>
      </c>
      <c r="F7" s="16">
        <f>E7*10</f>
        <v/>
      </c>
    </row>
    <row r="8">
      <c r="A8" s="5" t="inlineStr">
        <is>
          <t>GPT-4o-mini + chunk1000</t>
        </is>
      </c>
      <c r="B8" s="15" t="n">
        <v>0.881</v>
      </c>
      <c r="C8" s="15" t="n">
        <v>1.105</v>
      </c>
      <c r="D8" s="15" t="n">
        <v>0.126</v>
      </c>
      <c r="E8" s="9" t="n">
        <v>0.15</v>
      </c>
      <c r="F8" s="9">
        <f>E8*10</f>
        <v/>
      </c>
    </row>
    <row r="9">
      <c r="A9" s="10" t="inlineStr">
        <is>
          <t>GPT-3.5-turbo + chunk500</t>
        </is>
      </c>
      <c r="B9" s="12" t="n">
        <v>0.583</v>
      </c>
      <c r="C9" s="12" t="n">
        <v>0.696</v>
      </c>
      <c r="D9" s="12" t="n">
        <v>0.08</v>
      </c>
      <c r="E9" s="16" t="n">
        <v>0.5</v>
      </c>
      <c r="F9" s="16">
        <f>E9*10</f>
        <v/>
      </c>
    </row>
    <row r="10">
      <c r="A10" s="5" t="inlineStr">
        <is>
          <t>GPT-4o-mini + SentTransf</t>
        </is>
      </c>
      <c r="B10" s="15" t="n">
        <v>0.57</v>
      </c>
      <c r="C10" s="15" t="n">
        <v>0.665</v>
      </c>
      <c r="D10" s="15" t="n">
        <v>0.06</v>
      </c>
      <c r="E10" s="9" t="n">
        <v>0.15</v>
      </c>
      <c r="F10" s="9">
        <f>E10*10</f>
        <v/>
      </c>
    </row>
    <row r="11">
      <c r="A11" s="10" t="inlineStr">
        <is>
          <t>Llama3-local + SentTransf</t>
        </is>
      </c>
      <c r="B11" s="12" t="n">
        <v>2.481</v>
      </c>
      <c r="C11" s="12" t="n">
        <v>3.191</v>
      </c>
      <c r="D11" s="12" t="n">
        <v>0.392</v>
      </c>
      <c r="E11" s="16" t="n">
        <v>0</v>
      </c>
      <c r="F11" s="16">
        <f>E11*10</f>
        <v/>
      </c>
    </row>
    <row r="13">
      <c r="A13" s="23" t="inlineStr">
        <is>
          <t>* Estimado para 10.000 consultas/mes (ajustar según volumen real)</t>
        </is>
      </c>
    </row>
  </sheetData>
  <mergeCells count="2">
    <mergeCell ref="A13:F13"/>
    <mergeCell ref="A1:F2"/>
  </mergeCells>
  <conditionalFormatting sqref="B4:B11">
    <cfRule type="colorScale" priority="1">
      <colorScale>
        <cfvo type="min"/>
        <cfvo type="max"/>
        <color rgb="00C8E6C9"/>
        <color rgb="00FFCDD2"/>
      </colorScale>
    </cfRule>
  </conditionalFormatting>
  <conditionalFormatting sqref="C4:C11">
    <cfRule type="colorScale" priority="2">
      <colorScale>
        <cfvo type="min"/>
        <cfvo type="max"/>
        <color rgb="00C8E6C9"/>
        <color rgb="00FFCDD2"/>
      </colorScale>
    </cfRule>
  </conditionalFormatting>
  <conditionalFormatting sqref="D4:D11">
    <cfRule type="colorScale" priority="3">
      <colorScale>
        <cfvo type="min"/>
        <cfvo type="max"/>
        <color rgb="00C8E6C9"/>
        <color rgb="00FFCDD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3" customWidth="1" min="4" max="4"/>
    <col width="12" customWidth="1" min="5" max="5"/>
    <col width="14" customWidth="1" min="6" max="6"/>
    <col width="15" customWidth="1" min="7" max="7"/>
    <col width="14" customWidth="1" min="8" max="8"/>
  </cols>
  <sheetData>
    <row r="1" ht="26" customHeight="1">
      <c r="A1" s="21" t="inlineStr">
        <is>
          <t>Ranking Ponderado — Selección del Mejor Modelo</t>
        </is>
      </c>
    </row>
    <row r="2"/>
    <row r="3">
      <c r="A3" s="24" t="inlineStr">
        <is>
          <t>Fórmula: Score = F1×30% + ROUGE-L×20% + Cosine×25% + Velocidad×15% + (1–Costo_norm)×10%</t>
        </is>
      </c>
    </row>
    <row r="4" ht="32" customHeight="1">
      <c r="A4" s="22" t="inlineStr">
        <is>
          <t>#</t>
        </is>
      </c>
      <c r="B4" s="22" t="inlineStr">
        <is>
          <t>Configuración</t>
        </is>
      </c>
      <c r="C4" s="22" t="inlineStr">
        <is>
          <t>F1 (30%)</t>
        </is>
      </c>
      <c r="D4" s="22" t="inlineStr">
        <is>
          <t>ROUGE-L (20%)</t>
        </is>
      </c>
      <c r="E4" s="22" t="inlineStr">
        <is>
          <t>Cosine (25%)</t>
        </is>
      </c>
      <c r="F4" s="22" t="inlineStr">
        <is>
          <t>Velocidad (15%)</t>
        </is>
      </c>
      <c r="G4" s="22" t="inlineStr">
        <is>
          <t>Costo norm (10%)</t>
        </is>
      </c>
      <c r="H4" s="22" t="inlineStr">
        <is>
          <t>SCORE TOTAL</t>
        </is>
      </c>
    </row>
    <row r="5">
      <c r="A5" s="25" t="n">
        <v>1</v>
      </c>
      <c r="B5" s="26" t="inlineStr">
        <is>
          <t>GPT-4o-mini + SentTransf</t>
        </is>
      </c>
      <c r="C5" s="27" t="n">
        <v>0.954</v>
      </c>
      <c r="D5" s="27" t="n">
        <v>0.6267</v>
      </c>
      <c r="E5" s="27" t="n">
        <v>0.6601</v>
      </c>
      <c r="F5" s="27" t="n">
        <v>0.7703</v>
      </c>
      <c r="G5" s="27" t="n">
        <v>0.9399999999999999</v>
      </c>
      <c r="H5" s="27" t="n">
        <v>0.7861</v>
      </c>
    </row>
    <row r="6">
      <c r="A6" s="28" t="n">
        <v>2</v>
      </c>
      <c r="B6" s="29" t="inlineStr">
        <is>
          <t>GPT-4o-mini + chunk200</t>
        </is>
      </c>
      <c r="C6" s="30" t="n">
        <v>0.954</v>
      </c>
      <c r="D6" s="30" t="n">
        <v>0.6267</v>
      </c>
      <c r="E6" s="30" t="n">
        <v>0.6601</v>
      </c>
      <c r="F6" s="30" t="n">
        <v>0.7328</v>
      </c>
      <c r="G6" s="30" t="n">
        <v>0.9399999999999999</v>
      </c>
      <c r="H6" s="30" t="n">
        <v>0.7805</v>
      </c>
    </row>
    <row r="7">
      <c r="A7" s="31" t="n">
        <v>3</v>
      </c>
      <c r="B7" s="32" t="inlineStr">
        <is>
          <t>GPT-4o-mini + chunk500</t>
        </is>
      </c>
      <c r="C7" s="33" t="n">
        <v>0.954</v>
      </c>
      <c r="D7" s="33" t="n">
        <v>0.6267</v>
      </c>
      <c r="E7" s="33" t="n">
        <v>0.6601</v>
      </c>
      <c r="F7" s="33" t="n">
        <v>0.6993</v>
      </c>
      <c r="G7" s="33" t="n">
        <v>0.9399999999999999</v>
      </c>
      <c r="H7" s="33" t="n">
        <v>0.7755</v>
      </c>
    </row>
    <row r="8">
      <c r="A8" s="6" t="n">
        <v>4</v>
      </c>
      <c r="B8" s="34" t="inlineStr">
        <is>
          <t>GPT-4o-mini + chunk1000</t>
        </is>
      </c>
      <c r="C8" s="15" t="n">
        <v>0.954</v>
      </c>
      <c r="D8" s="15" t="n">
        <v>0.6267</v>
      </c>
      <c r="E8" s="15" t="n">
        <v>0.6601</v>
      </c>
      <c r="F8" s="15" t="n">
        <v>0.6449</v>
      </c>
      <c r="G8" s="15" t="n">
        <v>0.9399999999999999</v>
      </c>
      <c r="H8" s="35" t="n">
        <v>0.7673</v>
      </c>
    </row>
    <row r="9">
      <c r="A9" s="11" t="n">
        <v>5</v>
      </c>
      <c r="B9" s="36" t="inlineStr">
        <is>
          <t>GPT-4o + chunk200</t>
        </is>
      </c>
      <c r="C9" s="12" t="n">
        <v>0.954</v>
      </c>
      <c r="D9" s="12" t="n">
        <v>0.6267</v>
      </c>
      <c r="E9" s="12" t="n">
        <v>0.6601</v>
      </c>
      <c r="F9" s="12" t="n">
        <v>0.3712</v>
      </c>
      <c r="G9" s="12" t="n">
        <v>0</v>
      </c>
      <c r="H9" s="37" t="n">
        <v>0.6322</v>
      </c>
    </row>
    <row r="10">
      <c r="A10" s="6" t="n">
        <v>6</v>
      </c>
      <c r="B10" s="34" t="inlineStr">
        <is>
          <t>GPT-4o + chunk500</t>
        </is>
      </c>
      <c r="C10" s="15" t="n">
        <v>0.954</v>
      </c>
      <c r="D10" s="15" t="n">
        <v>0.6267</v>
      </c>
      <c r="E10" s="15" t="n">
        <v>0.6601</v>
      </c>
      <c r="F10" s="15" t="n">
        <v>0.2789</v>
      </c>
      <c r="G10" s="15" t="n">
        <v>0</v>
      </c>
      <c r="H10" s="35" t="n">
        <v>0.6183999999999999</v>
      </c>
    </row>
    <row r="11">
      <c r="A11" s="11" t="n">
        <v>7</v>
      </c>
      <c r="B11" s="36" t="inlineStr">
        <is>
          <t>GPT-3.5-turbo + chunk500</t>
        </is>
      </c>
      <c r="C11" s="12" t="n">
        <v>0.954</v>
      </c>
      <c r="D11" s="12" t="n">
        <v>0.167</v>
      </c>
      <c r="E11" s="12" t="n">
        <v>0.266</v>
      </c>
      <c r="F11" s="12" t="n">
        <v>0.765</v>
      </c>
      <c r="G11" s="12" t="n">
        <v>0.8</v>
      </c>
      <c r="H11" s="37" t="n">
        <v>0.5809</v>
      </c>
    </row>
    <row r="12">
      <c r="A12" s="6" t="n">
        <v>8</v>
      </c>
      <c r="B12" s="34" t="inlineStr">
        <is>
          <t>Llama3-local + SentTransf</t>
        </is>
      </c>
      <c r="C12" s="15" t="n">
        <v>0.2443</v>
      </c>
      <c r="D12" s="15" t="n">
        <v>0.0579</v>
      </c>
      <c r="E12" s="15" t="n">
        <v>0.1477</v>
      </c>
      <c r="F12" s="15" t="n">
        <v>0</v>
      </c>
      <c r="G12" s="15" t="n">
        <v>1</v>
      </c>
      <c r="H12" s="35" t="n">
        <v>0.2218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2026-05-08T19:01:08Z</dcterms:created>
  <dcterms:modified xmlns:dcterms="http://purl.org/dc/terms/" xmlns:xsi="http://www.w3.org/2001/XMLSchema-instance" xsi:type="dcterms:W3CDTF">2026-05-08T19:01:08Z</dcterms:modified>
</cp:coreProperties>
</file>